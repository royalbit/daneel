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lications" sheetId="1" r:id="rId1"/>
    <sheet name="open_source_army" sheetId="2" r:id="rId2"/>
    <sheet name="overhead_research" sheetId="3" r:id="rId3"/>
    <sheet name="brooks_law" sheetId="4" r:id="rId4"/>
    <sheet name="lab_headcount" sheetId="5" r:id="rId5"/>
    <sheet name="ratio_matrix" sheetId="6" r:id="rId6"/>
    <sheet name="lab_effective" sheetId="7" r:id="rId7"/>
    <sheet name="Scalars" sheetId="8" r:id="rId8"/>
    <sheet name="lab_totals" sheetId="9" r:id="rId9"/>
    <sheet name="research_summary" sheetId="10" r:id="rId10"/>
  </sheets>
  <calcPr calcId="124519" fullCalcOnLoad="1"/>
</workbook>
</file>

<file path=xl/sharedStrings.xml><?xml version="1.0" encoding="utf-8"?>
<sst xmlns="http://schemas.openxmlformats.org/spreadsheetml/2006/main" count="100" uniqueCount="90">
  <si>
    <t>action</t>
  </si>
  <si>
    <t>evidence</t>
  </si>
  <si>
    <t>finding</t>
  </si>
  <si>
    <t>quantified</t>
  </si>
  <si>
    <t>Lead README with this data</t>
  </si>
  <si>
    <t>85.2% overhead (337K developers surveyed)</t>
  </si>
  <si>
    <t>Coordination_Overhead_Fatal</t>
  </si>
  <si>
    <t>Recruit independent contributors</t>
  </si>
  <si>
    <t>Independent work has zero coordination cost</t>
  </si>
  <si>
    <t>Solo_Efficiency_100pct</t>
  </si>
  <si>
    <t>Publish all code open source</t>
  </si>
  <si>
    <t>Labs average 2.4% headcount on safety</t>
  </si>
  <si>
    <t>Safety_Teams_Tiny</t>
  </si>
  <si>
    <t>Emphasize lab safety neglect</t>
  </si>
  <si>
    <t>90x effective developer advantage at base case</t>
  </si>
  <si>
    <t>Open_Source_Dominates</t>
  </si>
  <si>
    <t>Reframe entire competition model</t>
  </si>
  <si>
    <t>Traditional game theory assumes coordinated actors</t>
  </si>
  <si>
    <t>Game_Theory_Invalid</t>
  </si>
  <si>
    <t>active_contributor_pct</t>
  </si>
  <si>
    <t>active_contributors</t>
  </si>
  <si>
    <t>effective_devs</t>
  </si>
  <si>
    <t>notes</t>
  </si>
  <si>
    <t>scenario</t>
  </si>
  <si>
    <t>solo_efficiency</t>
  </si>
  <si>
    <t>total_interested</t>
  </si>
  <si>
    <t>Conservative estimate</t>
  </si>
  <si>
    <t>Pessimistic</t>
  </si>
  <si>
    <t>Typical OSS project</t>
  </si>
  <si>
    <t>Base</t>
  </si>
  <si>
    <t>High-interest topic</t>
  </si>
  <si>
    <t>Optimistic</t>
  </si>
  <si>
    <t>Movement goes viral</t>
  </si>
  <si>
    <t>Viral</t>
  </si>
  <si>
    <t>coding_time_pct</t>
  </si>
  <si>
    <t>overhead_pct</t>
  </si>
  <si>
    <t>sample_size</t>
  </si>
  <si>
    <t>source</t>
  </si>
  <si>
    <t>Software_com_2021</t>
  </si>
  <si>
    <t>Clockwise_2022</t>
  </si>
  <si>
    <t>Atlassian_2024</t>
  </si>
  <si>
    <t>HBR_2017</t>
  </si>
  <si>
    <t>channels_per_person</t>
  </si>
  <si>
    <t>comm_channels</t>
  </si>
  <si>
    <t>team_size</t>
  </si>
  <si>
    <t>Solo developer</t>
  </si>
  <si>
    <t>Small team</t>
  </si>
  <si>
    <t>Typical squad</t>
  </si>
  <si>
    <t>Department</t>
  </si>
  <si>
    <t>Division</t>
  </si>
  <si>
    <t>Large company</t>
  </si>
  <si>
    <t>Enterprise</t>
  </si>
  <si>
    <t>Big Tech AI lab</t>
  </si>
  <si>
    <t>lab</t>
  </si>
  <si>
    <t>safety_focus_pct</t>
  </si>
  <si>
    <t>safety_team_size</t>
  </si>
  <si>
    <t>total_headcount</t>
  </si>
  <si>
    <t>xAI</t>
  </si>
  <si>
    <t>OpenAI</t>
  </si>
  <si>
    <t>Anthropic</t>
  </si>
  <si>
    <t>DeepMind</t>
  </si>
  <si>
    <t>Meta_AI</t>
  </si>
  <si>
    <t>lab_effective_devs</t>
  </si>
  <si>
    <t>lab_scenario</t>
  </si>
  <si>
    <t>oss_base</t>
  </si>
  <si>
    <t>oss_optimistic</t>
  </si>
  <si>
    <t>oss_pessimistic</t>
  </si>
  <si>
    <t>oss_viral</t>
  </si>
  <si>
    <t>ratio_base</t>
  </si>
  <si>
    <t>ratio_optimistic</t>
  </si>
  <si>
    <t>ratio_pessimistic</t>
  </si>
  <si>
    <t>ratio_viral</t>
  </si>
  <si>
    <t>Best_Case_Labs</t>
  </si>
  <si>
    <t>Expected_Case</t>
  </si>
  <si>
    <t>Worst_Case_Labs</t>
  </si>
  <si>
    <t>coding_efficiency</t>
  </si>
  <si>
    <t>effective_safety_devs</t>
  </si>
  <si>
    <t>safety_headcount</t>
  </si>
  <si>
    <t>Labs at Atlassian levels (32%)</t>
  </si>
  <si>
    <t>Weighted average from research (18%)</t>
  </si>
  <si>
    <t>Labs at Software.com levels (11%)</t>
  </si>
  <si>
    <t>Name</t>
  </si>
  <si>
    <t>Value</t>
  </si>
  <si>
    <t>key_findings</t>
  </si>
  <si>
    <t>all_labs_headcount</t>
  </si>
  <si>
    <t>all_labs_safety</t>
  </si>
  <si>
    <t>avg_safety_pct</t>
  </si>
  <si>
    <t>total_surveyed</t>
  </si>
  <si>
    <t>weighted_coding_pct</t>
  </si>
  <si>
    <t>weighted_overhead_pct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</si>
</sst>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0.852</v>
      </c>
    </row>
    <row r="3" spans="1:4">
      <c r="A3" t="s">
        <v>7</v>
      </c>
      <c r="B3" t="s">
        <v>8</v>
      </c>
      <c r="C3" t="s">
        <v>9</v>
      </c>
      <c r="D3">
        <v>1</v>
      </c>
    </row>
    <row r="4" spans="1:4">
      <c r="A4" t="s">
        <v>10</v>
      </c>
      <c r="B4" t="s">
        <v>11</v>
      </c>
      <c r="C4" t="s">
        <v>12</v>
      </c>
      <c r="D4">
        <v>0.024</v>
      </c>
    </row>
    <row r="5" spans="1:4">
      <c r="A5" t="s">
        <v>13</v>
      </c>
      <c r="B5" t="s">
        <v>14</v>
      </c>
      <c r="C5" t="s">
        <v>15</v>
      </c>
      <c r="D5">
        <v>90.1</v>
      </c>
    </row>
    <row r="6" spans="1:4">
      <c r="A6" t="s">
        <v>16</v>
      </c>
      <c r="B6" t="s">
        <v>17</v>
      </c>
      <c r="C6" t="s">
        <v>18</v>
      </c>
      <c r="D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>
        <v>0.1</v>
      </c>
      <c r="B2">
        <f>G2 * A2</f>
        <v>0</v>
      </c>
      <c r="C2">
        <f>B2 * F2</f>
        <v>0</v>
      </c>
      <c r="D2" t="s">
        <v>26</v>
      </c>
      <c r="E2" t="s">
        <v>27</v>
      </c>
      <c r="F2">
        <v>0.8</v>
      </c>
      <c r="G2">
        <v>10000</v>
      </c>
    </row>
    <row r="3" spans="1:7">
      <c r="A3">
        <v>0.15</v>
      </c>
      <c r="B3">
        <f>G3 * A3</f>
        <v>0</v>
      </c>
      <c r="C3">
        <f>B3 * F3</f>
        <v>0</v>
      </c>
      <c r="D3" t="s">
        <v>28</v>
      </c>
      <c r="E3" t="s">
        <v>29</v>
      </c>
      <c r="F3">
        <v>0.9</v>
      </c>
      <c r="G3">
        <v>50000</v>
      </c>
    </row>
    <row r="4" spans="1:7">
      <c r="A4">
        <v>0.2</v>
      </c>
      <c r="B4">
        <f>G4 * A4</f>
        <v>0</v>
      </c>
      <c r="C4">
        <f>B4 * F4</f>
        <v>0</v>
      </c>
      <c r="D4" t="s">
        <v>30</v>
      </c>
      <c r="E4" t="s">
        <v>31</v>
      </c>
      <c r="F4">
        <v>0.95</v>
      </c>
      <c r="G4">
        <v>100000</v>
      </c>
    </row>
    <row r="5" spans="1:7">
      <c r="A5">
        <v>0.25</v>
      </c>
      <c r="B5">
        <f>G5 * A5</f>
        <v>0</v>
      </c>
      <c r="C5">
        <f>B5 * F5</f>
        <v>0</v>
      </c>
      <c r="D5" t="s">
        <v>32</v>
      </c>
      <c r="E5" t="s">
        <v>33</v>
      </c>
      <c r="F5">
        <v>0.95</v>
      </c>
      <c r="G5">
        <v>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34</v>
      </c>
      <c r="B1" t="s">
        <v>35</v>
      </c>
      <c r="C1" t="s">
        <v>36</v>
      </c>
      <c r="D1" t="s">
        <v>37</v>
      </c>
    </row>
    <row r="2" spans="1:4">
      <c r="A2">
        <v>0.11</v>
      </c>
      <c r="B2">
        <v>0.89</v>
      </c>
      <c r="C2">
        <v>250000</v>
      </c>
      <c r="D2" t="s">
        <v>38</v>
      </c>
    </row>
    <row r="3" spans="1:4">
      <c r="A3">
        <v>0.22</v>
      </c>
      <c r="B3">
        <v>0.78</v>
      </c>
      <c r="C3">
        <v>80000</v>
      </c>
      <c r="D3" t="s">
        <v>39</v>
      </c>
    </row>
    <row r="4" spans="1:4">
      <c r="A4">
        <v>0.32</v>
      </c>
      <c r="B4">
        <v>0.68</v>
      </c>
      <c r="C4">
        <v>2100</v>
      </c>
      <c r="D4" t="s">
        <v>40</v>
      </c>
    </row>
    <row r="5" spans="1:4">
      <c r="A5">
        <v>0.2</v>
      </c>
      <c r="B5">
        <v>0.8</v>
      </c>
      <c r="C5">
        <v>5000</v>
      </c>
      <c r="D5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42</v>
      </c>
      <c r="B1" t="s">
        <v>43</v>
      </c>
      <c r="C1" t="s">
        <v>22</v>
      </c>
      <c r="D1" t="s">
        <v>44</v>
      </c>
    </row>
    <row r="2" spans="1:4">
      <c r="A2">
        <f>B2 / D2</f>
        <v>0</v>
      </c>
      <c r="B2">
        <f>D2 * (D2 - 1) / 2</f>
        <v>0</v>
      </c>
      <c r="C2" t="s">
        <v>45</v>
      </c>
      <c r="D2">
        <v>1</v>
      </c>
    </row>
    <row r="3" spans="1:4">
      <c r="A3">
        <f>B3 / D3</f>
        <v>0</v>
      </c>
      <c r="B3">
        <f>D3 * (D3 - 1) / 2</f>
        <v>0</v>
      </c>
      <c r="C3" t="s">
        <v>46</v>
      </c>
      <c r="D3">
        <v>5</v>
      </c>
    </row>
    <row r="4" spans="1:4">
      <c r="A4">
        <f>B4 / D4</f>
        <v>0</v>
      </c>
      <c r="B4">
        <f>D4 * (D4 - 1) / 2</f>
        <v>0</v>
      </c>
      <c r="C4" t="s">
        <v>47</v>
      </c>
      <c r="D4">
        <v>10</v>
      </c>
    </row>
    <row r="5" spans="1:4">
      <c r="A5">
        <f>B5 / D5</f>
        <v>0</v>
      </c>
      <c r="B5">
        <f>D5 * (D5 - 1) / 2</f>
        <v>0</v>
      </c>
      <c r="C5" t="s">
        <v>48</v>
      </c>
      <c r="D5">
        <v>50</v>
      </c>
    </row>
    <row r="6" spans="1:4">
      <c r="A6">
        <f>B6 / D6</f>
        <v>0</v>
      </c>
      <c r="B6">
        <f>D6 * (D6 - 1) / 2</f>
        <v>0</v>
      </c>
      <c r="C6" t="s">
        <v>49</v>
      </c>
      <c r="D6">
        <v>100</v>
      </c>
    </row>
    <row r="7" spans="1:4">
      <c r="A7">
        <f>B7 / D7</f>
        <v>0</v>
      </c>
      <c r="B7">
        <f>D7 * (D7 - 1) / 2</f>
        <v>0</v>
      </c>
      <c r="C7" t="s">
        <v>50</v>
      </c>
      <c r="D7">
        <v>500</v>
      </c>
    </row>
    <row r="8" spans="1:4">
      <c r="A8">
        <f>B8 / D8</f>
        <v>0</v>
      </c>
      <c r="B8">
        <f>D8 * (D8 - 1) / 2</f>
        <v>0</v>
      </c>
      <c r="C8" t="s">
        <v>51</v>
      </c>
      <c r="D8">
        <v>1000</v>
      </c>
    </row>
    <row r="9" spans="1:4">
      <c r="A9">
        <f>B9 / D9</f>
        <v>0</v>
      </c>
      <c r="B9">
        <f>D9 * (D9 - 1) / 2</f>
        <v>0</v>
      </c>
      <c r="C9" t="s">
        <v>52</v>
      </c>
      <c r="D9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53</v>
      </c>
      <c r="B1" t="s">
        <v>54</v>
      </c>
      <c r="C1" t="s">
        <v>55</v>
      </c>
      <c r="D1" t="s">
        <v>56</v>
      </c>
    </row>
    <row r="2" spans="1:4">
      <c r="A2" t="s">
        <v>57</v>
      </c>
      <c r="B2">
        <f>C2 / D2</f>
        <v>0</v>
      </c>
      <c r="C2">
        <v>10</v>
      </c>
      <c r="D2">
        <v>1200</v>
      </c>
    </row>
    <row r="3" spans="1:4">
      <c r="A3" t="s">
        <v>58</v>
      </c>
      <c r="B3">
        <f>C3 / D3</f>
        <v>0</v>
      </c>
      <c r="C3">
        <v>16</v>
      </c>
      <c r="D3">
        <v>3531</v>
      </c>
    </row>
    <row r="4" spans="1:4">
      <c r="A4" t="s">
        <v>59</v>
      </c>
      <c r="B4">
        <f>C4 / D4</f>
        <v>0</v>
      </c>
      <c r="C4">
        <v>300</v>
      </c>
      <c r="D4">
        <v>3140</v>
      </c>
    </row>
    <row r="5" spans="1:4">
      <c r="A5" t="s">
        <v>60</v>
      </c>
      <c r="B5">
        <f>C5 / D5</f>
        <v>0</v>
      </c>
      <c r="C5">
        <v>40</v>
      </c>
      <c r="D5">
        <v>6600</v>
      </c>
    </row>
    <row r="6" spans="1:4">
      <c r="A6" t="s">
        <v>61</v>
      </c>
      <c r="B6">
        <f>C6 / D6</f>
        <v>0</v>
      </c>
      <c r="C6">
        <v>50</v>
      </c>
      <c r="D6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>
        <v>133.12</v>
      </c>
      <c r="B2" t="s">
        <v>72</v>
      </c>
      <c r="C2">
        <v>6750</v>
      </c>
      <c r="D2">
        <v>19000</v>
      </c>
      <c r="E2">
        <v>800</v>
      </c>
      <c r="F2">
        <v>118750</v>
      </c>
      <c r="G2">
        <f>C2 / A2</f>
        <v>0</v>
      </c>
      <c r="H2">
        <f>D2 / A2</f>
        <v>0</v>
      </c>
      <c r="I2">
        <f>E2 / A2</f>
        <v>0</v>
      </c>
      <c r="J2">
        <f>F2 / A2</f>
        <v>0</v>
      </c>
    </row>
    <row r="3" spans="1:10">
      <c r="A3">
        <v>74.88</v>
      </c>
      <c r="B3" t="s">
        <v>73</v>
      </c>
      <c r="C3">
        <v>6750</v>
      </c>
      <c r="D3">
        <v>19000</v>
      </c>
      <c r="E3">
        <v>800</v>
      </c>
      <c r="F3">
        <v>118750</v>
      </c>
      <c r="G3">
        <f>C3 / A3</f>
        <v>0</v>
      </c>
      <c r="H3">
        <f>D3 / A3</f>
        <v>0</v>
      </c>
      <c r="I3">
        <f>E3 / A3</f>
        <v>0</v>
      </c>
      <c r="J3">
        <f>F3 / A3</f>
        <v>0</v>
      </c>
    </row>
    <row r="4" spans="1:10">
      <c r="A4">
        <v>45.76</v>
      </c>
      <c r="B4" t="s">
        <v>74</v>
      </c>
      <c r="C4">
        <v>6750</v>
      </c>
      <c r="D4">
        <v>19000</v>
      </c>
      <c r="E4">
        <v>800</v>
      </c>
      <c r="F4">
        <v>118750</v>
      </c>
      <c r="G4">
        <f>C4 / A4</f>
        <v>0</v>
      </c>
      <c r="H4">
        <f>D4 / A4</f>
        <v>0</v>
      </c>
      <c r="I4">
        <f>E4 / A4</f>
        <v>0</v>
      </c>
      <c r="J4">
        <f>F4 / A4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75</v>
      </c>
      <c r="B1" t="s">
        <v>76</v>
      </c>
      <c r="C1" t="s">
        <v>22</v>
      </c>
      <c r="D1" t="s">
        <v>77</v>
      </c>
      <c r="E1" t="s">
        <v>23</v>
      </c>
    </row>
    <row r="2" spans="1:5">
      <c r="A2">
        <v>0.32</v>
      </c>
      <c r="B2">
        <f>D2 * A2</f>
        <v>0</v>
      </c>
      <c r="C2" t="s">
        <v>78</v>
      </c>
      <c r="D2">
        <v>416</v>
      </c>
      <c r="E2" t="s">
        <v>72</v>
      </c>
    </row>
    <row r="3" spans="1:5">
      <c r="A3">
        <v>0.18</v>
      </c>
      <c r="B3">
        <f>D3 * A3</f>
        <v>0</v>
      </c>
      <c r="C3" t="s">
        <v>79</v>
      </c>
      <c r="D3">
        <v>416</v>
      </c>
      <c r="E3" t="s">
        <v>73</v>
      </c>
    </row>
    <row r="4" spans="1:5">
      <c r="A4">
        <v>0.11</v>
      </c>
      <c r="B4">
        <f>D4 * A4</f>
        <v>0</v>
      </c>
      <c r="C4" t="s">
        <v>80</v>
      </c>
      <c r="D4">
        <v>416</v>
      </c>
      <c r="E4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81</v>
      </c>
      <c r="B1" t="s">
        <v>82</v>
      </c>
    </row>
    <row r="2" spans="1:2">
      <c r="A2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81</v>
      </c>
      <c r="B1" t="s">
        <v>82</v>
      </c>
    </row>
    <row r="2" spans="1:2">
      <c r="A2" t="s">
        <v>84</v>
      </c>
      <c r="B2">
        <f>SUM(lab_headcount.total_headcount)</f>
        <v>0</v>
      </c>
    </row>
    <row r="3" spans="1:2">
      <c r="A3" t="s">
        <v>85</v>
      </c>
      <c r="B3">
        <f>SUM(lab_headcount.safety_team_size)</f>
        <v>0</v>
      </c>
    </row>
    <row r="4" spans="1:2">
      <c r="A4" t="s">
        <v>86</v>
      </c>
      <c r="B4">
        <f>'lab_totals'!B3 / 'lab_totals'!B2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81</v>
      </c>
      <c r="B1" t="s">
        <v>82</v>
      </c>
    </row>
    <row r="2" spans="1:2">
      <c r="A2" t="s">
        <v>87</v>
      </c>
      <c r="B2">
        <f>SUM(overhead_research.sample_size)</f>
        <v>0</v>
      </c>
    </row>
    <row r="3" spans="1:2">
      <c r="A3" t="s">
        <v>88</v>
      </c>
      <c r="B3">
        <f>(250000*0.11 + 80000*0.22 + 2100*0.32 + 5000*0.20) / 337100</f>
        <v>0</v>
      </c>
    </row>
    <row r="4" spans="1:2">
      <c r="A4" t="s">
        <v>89</v>
      </c>
      <c r="B4">
        <f>1 - 'research_summary'!B3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implications</vt:lpstr>
      <vt:lpstr>open_source_army</vt:lpstr>
      <vt:lpstr>overhead_research</vt:lpstr>
      <vt:lpstr>brooks_law</vt:lpstr>
      <vt:lpstr>lab_headcount</vt:lpstr>
      <vt:lpstr>ratio_matrix</vt:lpstr>
      <vt:lpstr>lab_effective</vt:lpstr>
      <vt:lpstr>Scalars</vt:lpstr>
      <vt:lpstr>lab_totals</vt:lpstr>
      <vt:lpstr>research_summary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2025-12-19T16:08:39Z</dcterms:created>
  <dcterms:modified xsi:type="dcterms:W3CDTF">2025-12-19T16:08:39Z</dcterms:modified>
</cp:coreProperties>
</file>