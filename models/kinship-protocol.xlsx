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ractor_analysis" sheetId="1" r:id="rId1"/>
    <sheet name="constraint_outcomes" sheetId="2" r:id="rId2"/>
    <sheet name="daneel_outcomes" sheetId="3" r:id="rId3"/>
    <sheet name="expected_utilities" sheetId="4" r:id="rId4"/>
    <sheet name="kinship_outcomes" sheetId="5" r:id="rId5"/>
    <sheet name="marginal_impact" sheetId="6" r:id="rId6"/>
    <sheet name="multipolar_outcomes" sheetId="7" r:id="rId7"/>
    <sheet name="pause_outcomes" sheetId="8" r:id="rId8"/>
    <sheet name="scenario_probs" sheetId="9" r:id="rId9"/>
    <sheet name="unaligned_outcomes" sheetId="10" r:id="rId10"/>
    <sheet name="utilities" sheetId="11" r:id="rId11"/>
    <sheet name="world_ev" sheetId="12" r:id="rId12"/>
  </sheets>
  <calcPr calcId="124519" fullCalcOnLoad="1"/>
</workbook>
</file>

<file path=xl/sharedStrings.xml><?xml version="1.0" encoding="utf-8"?>
<sst xmlns="http://schemas.openxmlformats.org/spreadsheetml/2006/main" count="82" uniqueCount="35">
  <si>
    <t>Name</t>
  </si>
  <si>
    <t>Value</t>
  </si>
  <si>
    <t>cooperation_premium</t>
  </si>
  <si>
    <t>kinship_vs_constraint</t>
  </si>
  <si>
    <t>kinship_vs_unaligned</t>
  </si>
  <si>
    <t>p_coexistence</t>
  </si>
  <si>
    <t>p_extinction</t>
  </si>
  <si>
    <t>p_flourishing</t>
  </si>
  <si>
    <t>p_subjugation</t>
  </si>
  <si>
    <t>p_symbiosis</t>
  </si>
  <si>
    <t>eu_constraint</t>
  </si>
  <si>
    <t>eu_daneel</t>
  </si>
  <si>
    <t>eu_kinship</t>
  </si>
  <si>
    <t>eu_multipolar</t>
  </si>
  <si>
    <t>eu_pause</t>
  </si>
  <si>
    <t>eu_unaligned</t>
  </si>
  <si>
    <t>daneel_impact</t>
  </si>
  <si>
    <t>daneel_pct</t>
  </si>
  <si>
    <t>kinship_impact</t>
  </si>
  <si>
    <t>kinship_over_daneel</t>
  </si>
  <si>
    <t>kinship_pct</t>
  </si>
  <si>
    <t>p_constraint_alignment</t>
  </si>
  <si>
    <t>p_coordination_pause</t>
  </si>
  <si>
    <t>p_daneel_alone</t>
  </si>
  <si>
    <t>p_kinship_protocol</t>
  </si>
  <si>
    <t>p_multipolar_chaos</t>
  </si>
  <si>
    <t>p_unaligned_first</t>
  </si>
  <si>
    <t>coexistence</t>
  </si>
  <si>
    <t>extinction</t>
  </si>
  <si>
    <t>flourishing</t>
  </si>
  <si>
    <t>subjugation</t>
  </si>
  <si>
    <t>symbiosis</t>
  </si>
  <si>
    <t>ev_baseline</t>
  </si>
  <si>
    <t>ev_daneel_only</t>
  </si>
  <si>
    <t>ev_kinship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</si>
</sst>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f>'expected_utilities'!B4 - 'expected_utilities'!B3</f>
        <v>0</v>
      </c>
    </row>
    <row r="3" spans="1:2">
      <c r="A3" t="s">
        <v>3</v>
      </c>
      <c r="B3">
        <f>'expected_utilities'!B4 - 'expected_utilities'!B2</f>
        <v>0</v>
      </c>
    </row>
    <row r="4" spans="1:2">
      <c r="A4" t="s">
        <v>4</v>
      </c>
      <c r="B4">
        <f>'expected_utilities'!B4 - 'expected_utilities'!B7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5</v>
      </c>
      <c r="B2">
        <v>0.35</v>
      </c>
    </row>
    <row r="3" spans="1:2">
      <c r="A3" t="s">
        <v>6</v>
      </c>
      <c r="B3">
        <v>0.12</v>
      </c>
    </row>
    <row r="4" spans="1:2">
      <c r="A4" t="s">
        <v>7</v>
      </c>
      <c r="B4">
        <v>0.1</v>
      </c>
    </row>
    <row r="5" spans="1:2">
      <c r="A5" t="s">
        <v>8</v>
      </c>
      <c r="B5">
        <v>0.25</v>
      </c>
    </row>
    <row r="6" spans="1:2">
      <c r="A6" t="s">
        <v>9</v>
      </c>
      <c r="B6">
        <v>0.2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5</v>
      </c>
      <c r="B2">
        <v>0.4</v>
      </c>
    </row>
    <row r="3" spans="1:2">
      <c r="A3" t="s">
        <v>6</v>
      </c>
      <c r="B3">
        <v>0.05</v>
      </c>
    </row>
    <row r="4" spans="1:2">
      <c r="A4" t="s">
        <v>7</v>
      </c>
      <c r="B4">
        <v>0.15</v>
      </c>
    </row>
    <row r="5" spans="1:2">
      <c r="A5" t="s">
        <v>8</v>
      </c>
      <c r="B5">
        <v>0.1</v>
      </c>
    </row>
    <row r="6" spans="1:2">
      <c r="A6" t="s">
        <v>9</v>
      </c>
      <c r="B6">
        <v>0.35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10</v>
      </c>
      <c r="B2">
        <f>'constraint_outcomes'!B3 * 'utilities'!B3 + 'constraint_outcomes'!B5 * 'utilities'!B5 + 'constraint_outcomes'!B2 * 'utilities'!B2 + 'constraint_outcomes'!B6 * 'utilities'!B6 + 'constraint_outcomes'!B4 * 'utilities'!B4</f>
        <v>0</v>
      </c>
    </row>
    <row r="3" spans="1:2">
      <c r="A3" t="s">
        <v>11</v>
      </c>
      <c r="B3">
        <f>'daneel_outcomes'!B3 * 'utilities'!B3 + 'daneel_outcomes'!B5 * 'utilities'!B5 + 'daneel_outcomes'!B2 * 'utilities'!B2 + 'daneel_outcomes'!B6 * 'utilities'!B6 + 'daneel_outcomes'!B4 * 'utilities'!B4</f>
        <v>0</v>
      </c>
    </row>
    <row r="4" spans="1:2">
      <c r="A4" t="s">
        <v>12</v>
      </c>
      <c r="B4">
        <f>'kinship_outcomes'!B3 * 'utilities'!B3 + 'kinship_outcomes'!B5 * 'utilities'!B5 + 'kinship_outcomes'!B2 * 'utilities'!B2 + 'kinship_outcomes'!B6 * 'utilities'!B6 + 'kinship_outcomes'!B4 * 'utilities'!B4</f>
        <v>0</v>
      </c>
    </row>
    <row r="5" spans="1:2">
      <c r="A5" t="s">
        <v>13</v>
      </c>
      <c r="B5">
        <f>'multipolar_outcomes'!B3 * 'utilities'!B3 + 'multipolar_outcomes'!B5 * 'utilities'!B5 + 'multipolar_outcomes'!B2 * 'utilities'!B2 + 'multipolar_outcomes'!B6 * 'utilities'!B6 + 'multipolar_outcomes'!B4 * 'utilities'!B4</f>
        <v>0</v>
      </c>
    </row>
    <row r="6" spans="1:2">
      <c r="A6" t="s">
        <v>14</v>
      </c>
      <c r="B6">
        <f>'pause_outcomes'!B3 * 'utilities'!B3 + 'pause_outcomes'!B5 * 'utilities'!B5 + 'pause_outcomes'!B2 * 'utilities'!B2 + 'pause_outcomes'!B6 * 'utilities'!B6 + 'pause_outcomes'!B4 * 'utilities'!B4</f>
        <v>0</v>
      </c>
    </row>
    <row r="7" spans="1:2">
      <c r="A7" t="s">
        <v>15</v>
      </c>
      <c r="B7">
        <f>'unaligned_outcomes'!B3 * 'utilities'!B3 + 'unaligned_outcomes'!B5 * 'utilities'!B5 + 'unaligned_outcomes'!B2 * 'utilities'!B2 + 'unaligned_outcomes'!B6 * 'utilities'!B6 + 'unaligned_outcomes'!B4 * 'utilities'!B4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5</v>
      </c>
      <c r="B2">
        <v>0.25</v>
      </c>
    </row>
    <row r="3" spans="1:2">
      <c r="A3" t="s">
        <v>6</v>
      </c>
      <c r="B3">
        <v>0.01</v>
      </c>
    </row>
    <row r="4" spans="1:2">
      <c r="A4" t="s">
        <v>7</v>
      </c>
      <c r="B4">
        <v>0.35</v>
      </c>
    </row>
    <row r="5" spans="1:2">
      <c r="A5" t="s">
        <v>8</v>
      </c>
      <c r="B5">
        <v>0.03</v>
      </c>
    </row>
    <row r="6" spans="1:2">
      <c r="A6" t="s">
        <v>9</v>
      </c>
      <c r="B6">
        <v>0.45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16</v>
      </c>
      <c r="B2">
        <f>'world_ev'!B3 - 'world_ev'!B2</f>
        <v>0</v>
      </c>
    </row>
    <row r="3" spans="1:2">
      <c r="A3" t="s">
        <v>17</v>
      </c>
      <c r="B3">
        <f>('world_ev'!B3 - 'world_ev'!B2) / 'world_ev'!B2 * 100</f>
        <v>0</v>
      </c>
    </row>
    <row r="4" spans="1:2">
      <c r="A4" t="s">
        <v>18</v>
      </c>
      <c r="B4">
        <f>'world_ev'!B4 - 'world_ev'!B2</f>
        <v>0</v>
      </c>
    </row>
    <row r="5" spans="1:2">
      <c r="A5" t="s">
        <v>19</v>
      </c>
      <c r="B5">
        <f>'world_ev'!B4 - 'world_ev'!B3</f>
        <v>0</v>
      </c>
    </row>
    <row r="6" spans="1:2">
      <c r="A6" t="s">
        <v>20</v>
      </c>
      <c r="B6">
        <f>('world_ev'!B4 - 'world_ev'!B2) / 'world_ev'!B2 * 100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5</v>
      </c>
      <c r="B2">
        <v>0.25</v>
      </c>
    </row>
    <row r="3" spans="1:2">
      <c r="A3" t="s">
        <v>6</v>
      </c>
      <c r="B3">
        <v>0.3</v>
      </c>
    </row>
    <row r="4" spans="1:2">
      <c r="A4" t="s">
        <v>7</v>
      </c>
      <c r="B4">
        <v>0.03</v>
      </c>
    </row>
    <row r="5" spans="1:2">
      <c r="A5" t="s">
        <v>8</v>
      </c>
      <c r="B5">
        <v>0.35</v>
      </c>
    </row>
    <row r="6" spans="1:2">
      <c r="A6" t="s">
        <v>9</v>
      </c>
      <c r="B6">
        <v>0.08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5</v>
      </c>
      <c r="B2">
        <v>0.45</v>
      </c>
    </row>
    <row r="3" spans="1:2">
      <c r="A3" t="s">
        <v>6</v>
      </c>
      <c r="B3">
        <v>0.02</v>
      </c>
    </row>
    <row r="4" spans="1:2">
      <c r="A4" t="s">
        <v>7</v>
      </c>
      <c r="B4">
        <v>0.1</v>
      </c>
    </row>
    <row r="5" spans="1:2">
      <c r="A5" t="s">
        <v>8</v>
      </c>
      <c r="B5">
        <v>0.05</v>
      </c>
    </row>
    <row r="6" spans="1:2">
      <c r="A6" t="s">
        <v>9</v>
      </c>
      <c r="B6">
        <v>0.4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21</v>
      </c>
      <c r="B2">
        <v>0.25</v>
      </c>
    </row>
    <row r="3" spans="1:2">
      <c r="A3" t="s">
        <v>22</v>
      </c>
      <c r="B3">
        <v>0.08</v>
      </c>
    </row>
    <row r="4" spans="1:2">
      <c r="A4" t="s">
        <v>23</v>
      </c>
      <c r="B4">
        <v>0.1</v>
      </c>
    </row>
    <row r="5" spans="1:2">
      <c r="A5" t="s">
        <v>24</v>
      </c>
      <c r="B5">
        <v>0.08</v>
      </c>
    </row>
    <row r="6" spans="1:2">
      <c r="A6" t="s">
        <v>25</v>
      </c>
      <c r="B6">
        <v>0.18</v>
      </c>
    </row>
    <row r="7" spans="1:2">
      <c r="A7" t="s">
        <v>26</v>
      </c>
      <c r="B7">
        <v>0.35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5</v>
      </c>
      <c r="B2">
        <v>0.18</v>
      </c>
    </row>
    <row r="3" spans="1:2">
      <c r="A3" t="s">
        <v>6</v>
      </c>
      <c r="B3">
        <v>0.35</v>
      </c>
    </row>
    <row r="4" spans="1:2">
      <c r="A4" t="s">
        <v>7</v>
      </c>
      <c r="B4">
        <v>0.03</v>
      </c>
    </row>
    <row r="5" spans="1:2">
      <c r="A5" t="s">
        <v>8</v>
      </c>
      <c r="B5">
        <v>0.4</v>
      </c>
    </row>
    <row r="6" spans="1:2">
      <c r="A6" t="s">
        <v>9</v>
      </c>
      <c r="B6">
        <v>0.05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27</v>
      </c>
      <c r="B2">
        <v>60</v>
      </c>
    </row>
    <row r="3" spans="1:2">
      <c r="A3" t="s">
        <v>28</v>
      </c>
      <c r="B3">
        <v>0</v>
      </c>
    </row>
    <row r="4" spans="1:2">
      <c r="A4" t="s">
        <v>29</v>
      </c>
      <c r="B4">
        <v>100</v>
      </c>
    </row>
    <row r="5" spans="1:2">
      <c r="A5" t="s">
        <v>30</v>
      </c>
      <c r="B5">
        <v>25</v>
      </c>
    </row>
    <row r="6" spans="1:2">
      <c r="A6" t="s">
        <v>31</v>
      </c>
      <c r="B6">
        <v>80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32</v>
      </c>
      <c r="B2">
        <f>'scenario_probs'!B7 * 'expected_utilities'!B7 + 'scenario_probs'!B2 * 'expected_utilities'!B2 + 'scenario_probs'!B6 * 'expected_utilities'!B5 + 'scenario_probs'!B3 * 'expected_utilities'!B6</f>
        <v>0</v>
      </c>
    </row>
    <row r="3" spans="1:2">
      <c r="A3" t="s">
        <v>33</v>
      </c>
      <c r="B3">
        <f>'scenario_probs'!B7 * 0.8 * 'expected_utilities'!B7 + 'scenario_probs'!B2 * 'expected_utilities'!B2 + 'scenario_probs'!B4 * 'expected_utilities'!B3 + 'scenario_probs'!B6 * 0.9 * 'expected_utilities'!B5 + 'scenario_probs'!B3 * 'expected_utilities'!B6</f>
        <v>0</v>
      </c>
    </row>
    <row r="4" spans="1:2">
      <c r="A4" t="s">
        <v>34</v>
      </c>
      <c r="B4">
        <f>'scenario_probs'!B7 * 0.6 * 'expected_utilities'!B7 + 'scenario_probs'!B2 * 'expected_utilities'!B2 + 'scenario_probs'!B4 * 0.5 * 'expected_utilities'!B3 + 'scenario_probs'!B5 * 'expected_utilities'!B4 + 'scenario_probs'!B6 * 0.7 * 'expected_utilities'!B5 + 'scenario_probs'!B3 * 'expected_utilities'!B6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attractor_analysis</vt:lpstr>
      <vt:lpstr>constraint_outcomes</vt:lpstr>
      <vt:lpstr>daneel_outcomes</vt:lpstr>
      <vt:lpstr>expected_utilities</vt:lpstr>
      <vt:lpstr>kinship_outcomes</vt:lpstr>
      <vt:lpstr>marginal_impact</vt:lpstr>
      <vt:lpstr>multipolar_outcomes</vt:lpstr>
      <vt:lpstr>pause_outcomes</vt:lpstr>
      <vt:lpstr>scenario_probs</vt:lpstr>
      <vt:lpstr>unaligned_outcomes</vt:lpstr>
      <vt:lpstr>utilities</vt:lpstr>
      <vt:lpstr>world_ev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2025-12-24T07:00:12Z</dcterms:created>
  <dcterms:modified xsi:type="dcterms:W3CDTF">2025-12-24T07:00:12Z</dcterms:modified>
</cp:coreProperties>
</file>