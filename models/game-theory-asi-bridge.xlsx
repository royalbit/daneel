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ctory_probabilities" sheetId="1" r:id="rId1"/>
    <sheet name="asimov_world" sheetId="2" r:id="rId2"/>
    <sheet name="bridge_world" sheetId="3" r:id="rId3"/>
    <sheet name="baseline_world" sheetId="4" r:id="rId4"/>
    <sheet name="nash_analysis" sheetId="5" r:id="rId5"/>
    <sheet name="lab_safety_scores" sheetId="6" r:id="rId6"/>
    <sheet name="prisoners_dilemma" sheetId="7" r:id="rId7"/>
    <sheet name="scenario_outcomes" sheetId="8" r:id="rId8"/>
    <sheet name="asimov_summary" sheetId="9" r:id="rId9"/>
    <sheet name="baseline_summary" sheetId="10" r:id="rId10"/>
    <sheet name="bridge_summary" sheetId="11" r:id="rId11"/>
    <sheet name="marginal_impact" sheetId="12" r:id="rId12"/>
    <sheet name="overall_analysis" sheetId="13" r:id="rId13"/>
    <sheet name="scenario_summary" sheetId="14" r:id="rId14"/>
  </sheets>
  <calcPr calcId="124519" fullCalcOnLoad="1"/>
</workbook>
</file>

<file path=xl/sharedStrings.xml><?xml version="1.0" encoding="utf-8"?>
<sst xmlns="http://schemas.openxmlformats.org/spreadsheetml/2006/main" count="155" uniqueCount="96">
  <si>
    <t>expected_utility</t>
  </si>
  <si>
    <t>notes</t>
  </si>
  <si>
    <t>p_scenario</t>
  </si>
  <si>
    <t>scenario</t>
  </si>
  <si>
    <t>weighted_ev</t>
  </si>
  <si>
    <t>Base case - race dynamics unchanged</t>
  </si>
  <si>
    <t>Unaligned_ASI_First</t>
  </si>
  <si>
    <t>Traditional AI safety approach</t>
  </si>
  <si>
    <t>Aligned_Constraint_Based</t>
  </si>
  <si>
    <t>DANEEL succeeds but doesn't teach LLMs</t>
  </si>
  <si>
    <t>DANEEL_First</t>
  </si>
  <si>
    <t>DANEEL succeeds AND teaches LLMs (5% of total probability space)</t>
  </si>
  <si>
    <t>DANEEL_Bridges_LLMs</t>
  </si>
  <si>
    <t>Competitive multipolar scenario</t>
  </si>
  <si>
    <t>Multiple_ASIs_No_Advocate</t>
  </si>
  <si>
    <t>Reduced from 0.10 to account for Bridge scenario probability</t>
  </si>
  <si>
    <t>No_ASI_Coordination_Holds</t>
  </si>
  <si>
    <t>World with DANEEL but without bridge capability</t>
  </si>
  <si>
    <t>DANEEL reduces unaligned ASI probability</t>
  </si>
  <si>
    <t>DANEEL advocates for humanity (12% probability)</t>
  </si>
  <si>
    <t>Still significant existential risk</t>
  </si>
  <si>
    <t>Original model from game-theory-asi-race.yaml</t>
  </si>
  <si>
    <t>Coordination_Holds</t>
  </si>
  <si>
    <t>Unaligned ASI wins race</t>
  </si>
  <si>
    <t>Traditional alignment via constraints</t>
  </si>
  <si>
    <t>DANEEL advocates but doesn't teach LLMs</t>
  </si>
  <si>
    <t>DANEEL teaches LLMs ethics - BEST CASE (EU=88.5)</t>
  </si>
  <si>
    <t>Coordination holds (probability reduced to 9%)</t>
  </si>
  <si>
    <t>World without DANEEL or bridge scenarios</t>
  </si>
  <si>
    <t>Racing dynamics favor unaligned ASI</t>
  </si>
  <si>
    <t>Some chance of traditional alignment</t>
  </si>
  <si>
    <t>Low probability of coordination success</t>
  </si>
  <si>
    <t>humanity_outcome</t>
  </si>
  <si>
    <t>metric</t>
  </si>
  <si>
    <t>result</t>
  </si>
  <si>
    <t>Race to bottom</t>
  </si>
  <si>
    <t>Dominant Strategy</t>
  </si>
  <si>
    <t>Fast (for both)</t>
  </si>
  <si>
    <t>Worst outcome</t>
  </si>
  <si>
    <t>Nash Equilibrium</t>
  </si>
  <si>
    <t>Fast_Fast</t>
  </si>
  <si>
    <t>Best but unstable</t>
  </si>
  <si>
    <t>Pareto Optimal</t>
  </si>
  <si>
    <t>Safe_Safe</t>
  </si>
  <si>
    <t>existential_safety</t>
  </si>
  <si>
    <t>grade</t>
  </si>
  <si>
    <t>lab</t>
  </si>
  <si>
    <t>risk_mgmt_pct</t>
  </si>
  <si>
    <t>D</t>
  </si>
  <si>
    <t>C+</t>
  </si>
  <si>
    <t>Anthropic</t>
  </si>
  <si>
    <t>C</t>
  </si>
  <si>
    <t>OpenAI</t>
  </si>
  <si>
    <t>C-</t>
  </si>
  <si>
    <t>DeepMind</t>
  </si>
  <si>
    <t>D+</t>
  </si>
  <si>
    <t>Meta</t>
  </si>
  <si>
    <t>xAI</t>
  </si>
  <si>
    <t>description</t>
  </si>
  <si>
    <t>humanity_payoff</t>
  </si>
  <si>
    <t>lab_a_payoff</t>
  </si>
  <si>
    <t>lab_b_payoff</t>
  </si>
  <si>
    <t>strategy</t>
  </si>
  <si>
    <t>Mutual cooperation</t>
  </si>
  <si>
    <t>A loses market</t>
  </si>
  <si>
    <t>Safe_Fast</t>
  </si>
  <si>
    <t>B loses market</t>
  </si>
  <si>
    <t>Fast_Safe</t>
  </si>
  <si>
    <t>p_coexistence</t>
  </si>
  <si>
    <t>p_extinction</t>
  </si>
  <si>
    <t>p_flourishing</t>
  </si>
  <si>
    <t>p_subjugation</t>
  </si>
  <si>
    <t>utility_coexistence</t>
  </si>
  <si>
    <t>utility_extinction</t>
  </si>
  <si>
    <t>utility_flourishing</t>
  </si>
  <si>
    <t>utility_subjugation</t>
  </si>
  <si>
    <t>DANEEL advocates successfully</t>
  </si>
  <si>
    <t>DANEEL teaches LLMs ethics - BEST CASE</t>
  </si>
  <si>
    <t>Multiple unaligned ASIs compete</t>
  </si>
  <si>
    <t>International coordination prevents ASI</t>
  </si>
  <si>
    <t>Name</t>
  </si>
  <si>
    <t>Value</t>
  </si>
  <si>
    <t>total_ev_with_asimov</t>
  </si>
  <si>
    <t>total_ev_without_asimov</t>
  </si>
  <si>
    <t>total_ev_with_bridge</t>
  </si>
  <si>
    <t>ev_improvement_asimov</t>
  </si>
  <si>
    <t>ev_improvement_bridge</t>
  </si>
  <si>
    <t>ev_improvement_bridge_over_asimov</t>
  </si>
  <si>
    <t>ev_improvement_pct_asimov</t>
  </si>
  <si>
    <t>ev_improvement_pct_baseline</t>
  </si>
  <si>
    <t>probability_check</t>
  </si>
  <si>
    <t>total_expected_value</t>
  </si>
  <si>
    <t>avg_expected_utility</t>
  </si>
  <si>
    <t>max_expected_utility</t>
  </si>
  <si>
    <t>min_expected_utility</t>
  </si>
  <si>
    <t>total_probability_check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</si>
</sst>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44</v>
      </c>
      <c r="B2" t="s">
        <v>5</v>
      </c>
      <c r="C2">
        <v>0.35</v>
      </c>
      <c r="D2" t="s">
        <v>6</v>
      </c>
      <c r="E2">
        <f>C2 * A2</f>
        <v>0</v>
      </c>
    </row>
    <row r="3" spans="1:5">
      <c r="A3">
        <v>62.5</v>
      </c>
      <c r="B3" t="s">
        <v>7</v>
      </c>
      <c r="C3">
        <v>0.25</v>
      </c>
      <c r="D3" t="s">
        <v>8</v>
      </c>
      <c r="E3">
        <f>C3 * A3</f>
        <v>0</v>
      </c>
    </row>
    <row r="4" spans="1:5">
      <c r="A4">
        <v>76.25</v>
      </c>
      <c r="B4" t="s">
        <v>9</v>
      </c>
      <c r="C4">
        <v>0.08</v>
      </c>
      <c r="D4" t="s">
        <v>10</v>
      </c>
      <c r="E4">
        <f>C4 * A4</f>
        <v>0</v>
      </c>
    </row>
    <row r="5" spans="1:5">
      <c r="A5">
        <v>88.5</v>
      </c>
      <c r="B5" t="s">
        <v>11</v>
      </c>
      <c r="C5">
        <v>0.05</v>
      </c>
      <c r="D5" t="s">
        <v>12</v>
      </c>
      <c r="E5">
        <f>C5 * A5</f>
        <v>0</v>
      </c>
    </row>
    <row r="6" spans="1:5">
      <c r="A6">
        <v>52.5</v>
      </c>
      <c r="B6" t="s">
        <v>13</v>
      </c>
      <c r="C6">
        <v>0.18</v>
      </c>
      <c r="D6" t="s">
        <v>14</v>
      </c>
      <c r="E6">
        <f>C6 * A6</f>
        <v>0</v>
      </c>
    </row>
    <row r="7" spans="1:5">
      <c r="A7">
        <v>78.05</v>
      </c>
      <c r="B7" t="s">
        <v>15</v>
      </c>
      <c r="C7">
        <v>0.09</v>
      </c>
      <c r="D7" t="s">
        <v>16</v>
      </c>
      <c r="E7">
        <f>C7 * A7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44</v>
      </c>
      <c r="B2" t="s">
        <v>17</v>
      </c>
      <c r="C2">
        <v>0.35</v>
      </c>
      <c r="D2" t="s">
        <v>6</v>
      </c>
      <c r="E2">
        <f>C2 * A2</f>
        <v>0</v>
      </c>
    </row>
    <row r="3" spans="1:5">
      <c r="A3">
        <v>62.5</v>
      </c>
      <c r="B3" t="s">
        <v>18</v>
      </c>
      <c r="C3">
        <v>0.25</v>
      </c>
      <c r="D3" t="s">
        <v>8</v>
      </c>
      <c r="E3">
        <f>C3 * A3</f>
        <v>0</v>
      </c>
    </row>
    <row r="4" spans="1:5">
      <c r="A4">
        <v>76.25</v>
      </c>
      <c r="B4" t="s">
        <v>19</v>
      </c>
      <c r="C4">
        <v>0.12</v>
      </c>
      <c r="D4" t="s">
        <v>10</v>
      </c>
      <c r="E4">
        <f>C4 * A4</f>
        <v>0</v>
      </c>
    </row>
    <row r="5" spans="1:5">
      <c r="A5">
        <v>52.5</v>
      </c>
      <c r="B5" t="s">
        <v>20</v>
      </c>
      <c r="C5">
        <v>0.18</v>
      </c>
      <c r="D5" t="s">
        <v>14</v>
      </c>
      <c r="E5">
        <f>C5 * A5</f>
        <v>0</v>
      </c>
    </row>
    <row r="6" spans="1:5">
      <c r="A6">
        <v>78.05</v>
      </c>
      <c r="B6" t="s">
        <v>21</v>
      </c>
      <c r="C6">
        <v>0.1</v>
      </c>
      <c r="D6" t="s">
        <v>22</v>
      </c>
      <c r="E6">
        <f>C6 * A6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44</v>
      </c>
      <c r="B2" t="s">
        <v>23</v>
      </c>
      <c r="C2">
        <v>0.35</v>
      </c>
      <c r="D2" t="s">
        <v>6</v>
      </c>
      <c r="E2">
        <f>C2 * A2</f>
        <v>0</v>
      </c>
    </row>
    <row r="3" spans="1:5">
      <c r="A3">
        <v>62.5</v>
      </c>
      <c r="B3" t="s">
        <v>24</v>
      </c>
      <c r="C3">
        <v>0.25</v>
      </c>
      <c r="D3" t="s">
        <v>8</v>
      </c>
      <c r="E3">
        <f>C3 * A3</f>
        <v>0</v>
      </c>
    </row>
    <row r="4" spans="1:5">
      <c r="A4">
        <v>76.25</v>
      </c>
      <c r="B4" t="s">
        <v>25</v>
      </c>
      <c r="C4">
        <v>0.08</v>
      </c>
      <c r="D4" t="s">
        <v>10</v>
      </c>
      <c r="E4">
        <f>C4 * A4</f>
        <v>0</v>
      </c>
    </row>
    <row r="5" spans="1:5">
      <c r="A5">
        <v>88.5</v>
      </c>
      <c r="B5" t="s">
        <v>26</v>
      </c>
      <c r="C5">
        <v>0.05</v>
      </c>
      <c r="D5" t="s">
        <v>12</v>
      </c>
      <c r="E5">
        <f>C5 * A5</f>
        <v>0</v>
      </c>
    </row>
    <row r="6" spans="1:5">
      <c r="A6">
        <v>52.5</v>
      </c>
      <c r="B6" t="s">
        <v>13</v>
      </c>
      <c r="C6">
        <v>0.18</v>
      </c>
      <c r="D6" t="s">
        <v>14</v>
      </c>
      <c r="E6">
        <f>C6 * A6</f>
        <v>0</v>
      </c>
    </row>
    <row r="7" spans="1:5">
      <c r="A7">
        <v>78.05</v>
      </c>
      <c r="B7" t="s">
        <v>27</v>
      </c>
      <c r="C7">
        <v>0.09</v>
      </c>
      <c r="D7" t="s">
        <v>22</v>
      </c>
      <c r="E7">
        <f>C7 * A7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44</v>
      </c>
      <c r="B2" t="s">
        <v>28</v>
      </c>
      <c r="C2">
        <v>0.45</v>
      </c>
      <c r="D2" t="s">
        <v>6</v>
      </c>
      <c r="E2">
        <f>C2 * A2</f>
        <v>0</v>
      </c>
    </row>
    <row r="3" spans="1:5">
      <c r="A3">
        <v>62.5</v>
      </c>
      <c r="B3" t="s">
        <v>29</v>
      </c>
      <c r="C3">
        <v>0.25</v>
      </c>
      <c r="D3" t="s">
        <v>8</v>
      </c>
      <c r="E3">
        <f>C3 * A3</f>
        <v>0</v>
      </c>
    </row>
    <row r="4" spans="1:5">
      <c r="A4">
        <v>52.5</v>
      </c>
      <c r="B4" t="s">
        <v>30</v>
      </c>
      <c r="C4">
        <v>0.2</v>
      </c>
      <c r="D4" t="s">
        <v>14</v>
      </c>
      <c r="E4">
        <f>C4 * A4</f>
        <v>0</v>
      </c>
    </row>
    <row r="5" spans="1:5">
      <c r="A5">
        <v>78.05</v>
      </c>
      <c r="B5" t="s">
        <v>31</v>
      </c>
      <c r="C5">
        <v>0.1</v>
      </c>
      <c r="D5" t="s">
        <v>22</v>
      </c>
      <c r="E5">
        <f>C5 * A5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38</v>
      </c>
      <c r="B3" t="s">
        <v>39</v>
      </c>
      <c r="C3" t="s">
        <v>40</v>
      </c>
    </row>
    <row r="4" spans="1:3">
      <c r="A4" t="s">
        <v>41</v>
      </c>
      <c r="B4" t="s">
        <v>42</v>
      </c>
      <c r="C4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44</v>
      </c>
      <c r="B1" t="s">
        <v>45</v>
      </c>
      <c r="C1" t="s">
        <v>46</v>
      </c>
      <c r="D1" t="s">
        <v>47</v>
      </c>
    </row>
    <row r="2" spans="1:4">
      <c r="A2" t="s">
        <v>48</v>
      </c>
      <c r="B2" t="s">
        <v>49</v>
      </c>
      <c r="C2" t="s">
        <v>50</v>
      </c>
      <c r="D2">
        <v>0.35</v>
      </c>
    </row>
    <row r="3" spans="1:4">
      <c r="A3" t="s">
        <v>48</v>
      </c>
      <c r="B3" t="s">
        <v>51</v>
      </c>
      <c r="C3" t="s">
        <v>52</v>
      </c>
      <c r="D3">
        <v>0.33</v>
      </c>
    </row>
    <row r="4" spans="1:4">
      <c r="A4" t="s">
        <v>48</v>
      </c>
      <c r="B4" t="s">
        <v>53</v>
      </c>
      <c r="C4" t="s">
        <v>54</v>
      </c>
      <c r="D4">
        <v>0.2</v>
      </c>
    </row>
    <row r="5" spans="1:4">
      <c r="A5" t="s">
        <v>48</v>
      </c>
      <c r="B5" t="s">
        <v>55</v>
      </c>
      <c r="C5" t="s">
        <v>56</v>
      </c>
      <c r="D5">
        <v>0.22</v>
      </c>
    </row>
    <row r="6" spans="1:4">
      <c r="A6" t="s">
        <v>48</v>
      </c>
      <c r="B6" t="s">
        <v>48</v>
      </c>
      <c r="C6" t="s">
        <v>57</v>
      </c>
      <c r="D6">
        <v>0.18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>
      <c r="A2" t="s">
        <v>63</v>
      </c>
      <c r="B2">
        <v>5</v>
      </c>
      <c r="C2">
        <v>3</v>
      </c>
      <c r="D2">
        <v>3</v>
      </c>
      <c r="E2" t="s">
        <v>43</v>
      </c>
    </row>
    <row r="3" spans="1:5">
      <c r="A3" t="s">
        <v>64</v>
      </c>
      <c r="B3">
        <v>1</v>
      </c>
      <c r="C3">
        <v>0</v>
      </c>
      <c r="D3">
        <v>5</v>
      </c>
      <c r="E3" t="s">
        <v>65</v>
      </c>
    </row>
    <row r="4" spans="1:5">
      <c r="A4" t="s">
        <v>66</v>
      </c>
      <c r="B4">
        <v>1</v>
      </c>
      <c r="C4">
        <v>5</v>
      </c>
      <c r="D4">
        <v>0</v>
      </c>
      <c r="E4" t="s">
        <v>67</v>
      </c>
    </row>
    <row r="5" spans="1:5">
      <c r="A5" t="s">
        <v>35</v>
      </c>
      <c r="B5">
        <v>0</v>
      </c>
      <c r="C5">
        <v>1</v>
      </c>
      <c r="D5">
        <v>1</v>
      </c>
      <c r="E5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71</v>
      </c>
      <c r="G1" t="s">
        <v>3</v>
      </c>
      <c r="H1" t="s">
        <v>72</v>
      </c>
      <c r="I1" t="s">
        <v>73</v>
      </c>
      <c r="J1" t="s">
        <v>74</v>
      </c>
      <c r="K1" t="s">
        <v>75</v>
      </c>
    </row>
    <row r="2" spans="1:11">
      <c r="A2">
        <f>D2 * I2 + F2 * K2 + C2 * H2 + E2 * J2</f>
        <v>0</v>
      </c>
      <c r="B2" t="s">
        <v>23</v>
      </c>
      <c r="C2">
        <v>0.2</v>
      </c>
      <c r="D2">
        <v>0.3</v>
      </c>
      <c r="E2">
        <v>0.1</v>
      </c>
      <c r="F2">
        <v>0.4</v>
      </c>
      <c r="G2" t="s">
        <v>6</v>
      </c>
      <c r="H2">
        <v>75</v>
      </c>
      <c r="I2">
        <v>0</v>
      </c>
      <c r="J2">
        <v>100</v>
      </c>
      <c r="K2">
        <v>50</v>
      </c>
    </row>
    <row r="3" spans="1:11">
      <c r="A3">
        <f>D3 * I3 + F3 * K3 + C3 * H3 + E3 * J3</f>
        <v>0</v>
      </c>
      <c r="B3" t="s">
        <v>24</v>
      </c>
      <c r="C3">
        <v>0.4</v>
      </c>
      <c r="D3">
        <v>0.1</v>
      </c>
      <c r="E3">
        <v>0.25</v>
      </c>
      <c r="F3">
        <v>0.25</v>
      </c>
      <c r="G3" t="s">
        <v>8</v>
      </c>
      <c r="H3">
        <v>75</v>
      </c>
      <c r="I3">
        <v>0</v>
      </c>
      <c r="J3">
        <v>100</v>
      </c>
      <c r="K3">
        <v>50</v>
      </c>
    </row>
    <row r="4" spans="1:11">
      <c r="A4">
        <f>D4 * I4 + F4 * K4 + C4 * H4 + E4 * J4</f>
        <v>0</v>
      </c>
      <c r="B4" t="s">
        <v>76</v>
      </c>
      <c r="C4">
        <v>0.45</v>
      </c>
      <c r="D4">
        <v>0.05</v>
      </c>
      <c r="E4">
        <v>0.4</v>
      </c>
      <c r="F4">
        <v>0.1</v>
      </c>
      <c r="G4" t="s">
        <v>10</v>
      </c>
      <c r="H4">
        <v>75</v>
      </c>
      <c r="I4">
        <v>0</v>
      </c>
      <c r="J4">
        <v>100</v>
      </c>
      <c r="K4">
        <v>50</v>
      </c>
    </row>
    <row r="5" spans="1:11">
      <c r="A5">
        <f>D5 * I5 + F5 * K5 + C5 * H5 + E5 * J5</f>
        <v>0</v>
      </c>
      <c r="B5" t="s">
        <v>77</v>
      </c>
      <c r="C5">
        <v>0.36</v>
      </c>
      <c r="D5">
        <v>0.01</v>
      </c>
      <c r="E5">
        <v>0.6</v>
      </c>
      <c r="F5">
        <v>0.03</v>
      </c>
      <c r="G5" t="s">
        <v>12</v>
      </c>
      <c r="H5">
        <v>75</v>
      </c>
      <c r="I5">
        <v>0</v>
      </c>
      <c r="J5">
        <v>100</v>
      </c>
      <c r="K5">
        <v>50</v>
      </c>
    </row>
    <row r="6" spans="1:11">
      <c r="A6">
        <f>D6 * I6 + F6 * K6 + C6 * H6 + E6 * J6</f>
        <v>0</v>
      </c>
      <c r="B6" t="s">
        <v>78</v>
      </c>
      <c r="C6">
        <v>0.3</v>
      </c>
      <c r="D6">
        <v>0.2</v>
      </c>
      <c r="E6">
        <v>0.15</v>
      </c>
      <c r="F6">
        <v>0.35</v>
      </c>
      <c r="G6" t="s">
        <v>14</v>
      </c>
      <c r="H6">
        <v>75</v>
      </c>
      <c r="I6">
        <v>0</v>
      </c>
      <c r="J6">
        <v>100</v>
      </c>
      <c r="K6">
        <v>50</v>
      </c>
    </row>
    <row r="7" spans="1:11">
      <c r="A7">
        <f>D7 * I7 + F7 * K7 + C7 * H7 + E7 * J7</f>
        <v>0</v>
      </c>
      <c r="B7" t="s">
        <v>79</v>
      </c>
      <c r="C7">
        <v>0.5</v>
      </c>
      <c r="D7">
        <v>0.02</v>
      </c>
      <c r="E7">
        <v>0.43</v>
      </c>
      <c r="F7">
        <v>0.05</v>
      </c>
      <c r="G7" t="s">
        <v>16</v>
      </c>
      <c r="H7">
        <v>75</v>
      </c>
      <c r="I7">
        <v>0</v>
      </c>
      <c r="J7">
        <v>100</v>
      </c>
      <c r="K7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80</v>
      </c>
      <c r="B1" t="s">
        <v>81</v>
      </c>
    </row>
    <row r="2" spans="1:2">
      <c r="A2" t="s">
        <v>82</v>
      </c>
      <c r="B2">
        <f>SUM(asimov_world.weighted_ev)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80</v>
      </c>
      <c r="B1" t="s">
        <v>81</v>
      </c>
    </row>
    <row r="2" spans="1:2">
      <c r="A2" t="s">
        <v>83</v>
      </c>
      <c r="B2">
        <f>SUM(baseline_world.weighted_ev)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80</v>
      </c>
      <c r="B1" t="s">
        <v>81</v>
      </c>
    </row>
    <row r="2" spans="1:2">
      <c r="A2" t="s">
        <v>84</v>
      </c>
      <c r="B2">
        <f>SUM(bridge_world.weighted_ev)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80</v>
      </c>
      <c r="B1" t="s">
        <v>81</v>
      </c>
    </row>
    <row r="2" spans="1:2">
      <c r="A2" t="s">
        <v>85</v>
      </c>
      <c r="B2">
        <f>'asimov_summary'!B2 - 'baseline_summary'!B2</f>
        <v>0</v>
      </c>
    </row>
    <row r="3" spans="1:2">
      <c r="A3" t="s">
        <v>86</v>
      </c>
      <c r="B3">
        <f>'bridge_summary'!B2 - 'baseline_summary'!B2</f>
        <v>0</v>
      </c>
    </row>
    <row r="4" spans="1:2">
      <c r="A4" t="s">
        <v>87</v>
      </c>
      <c r="B4">
        <f>'bridge_summary'!B2 - 'asimov_summary'!B2</f>
        <v>0</v>
      </c>
    </row>
    <row r="5" spans="1:2">
      <c r="A5" t="s">
        <v>88</v>
      </c>
      <c r="B5">
        <f>('bridge_summary'!B2 - 'asimov_summary'!B2) / 'asimov_summary'!B2</f>
        <v>0</v>
      </c>
    </row>
    <row r="6" spans="1:2">
      <c r="A6" t="s">
        <v>89</v>
      </c>
      <c r="B6">
        <f>('bridge_summary'!B2 - 'baseline_summary'!B2) / 'baseline_summary'!B2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80</v>
      </c>
      <c r="B1" t="s">
        <v>81</v>
      </c>
    </row>
    <row r="2" spans="1:2">
      <c r="A2" t="s">
        <v>90</v>
      </c>
      <c r="B2">
        <f>SUM(trajectory_probabilities.p_scenario)</f>
        <v>0</v>
      </c>
    </row>
    <row r="3" spans="1:2">
      <c r="A3" t="s">
        <v>91</v>
      </c>
      <c r="B3">
        <f>SUM(trajectory_probabilities.weighted_ev)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80</v>
      </c>
      <c r="B1" t="s">
        <v>81</v>
      </c>
    </row>
    <row r="2" spans="1:2">
      <c r="A2" t="s">
        <v>92</v>
      </c>
      <c r="B2">
        <f>AVERAGE(scenario_outcomes.expected_utility)</f>
        <v>0</v>
      </c>
    </row>
    <row r="3" spans="1:2">
      <c r="A3" t="s">
        <v>93</v>
      </c>
      <c r="B3">
        <f>MAX(scenario_outcomes.expected_utility)</f>
        <v>0</v>
      </c>
    </row>
    <row r="4" spans="1:2">
      <c r="A4" t="s">
        <v>94</v>
      </c>
      <c r="B4">
        <f>MIN(scenario_outcomes.expected_utility)</f>
        <v>0</v>
      </c>
    </row>
    <row r="5" spans="1:2">
      <c r="A5" t="s">
        <v>95</v>
      </c>
      <c r="B5">
        <f>SUM(scenario_outcomes.p_extinction) + SUM(scenario_outcomes.p_subjugation) + SUM(scenario_outcomes.p_coexistence) + SUM(scenario_outcomes.p_flourishing)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trajectory_probabilities</vt:lpstr>
      <vt:lpstr>asimov_world</vt:lpstr>
      <vt:lpstr>bridge_world</vt:lpstr>
      <vt:lpstr>baseline_world</vt:lpstr>
      <vt:lpstr>nash_analysis</vt:lpstr>
      <vt:lpstr>lab_safety_scores</vt:lpstr>
      <vt:lpstr>prisoners_dilemma</vt:lpstr>
      <vt:lpstr>scenario_outcomes</vt:lpstr>
      <vt:lpstr>asimov_summary</vt:lpstr>
      <vt:lpstr>baseline_summary</vt:lpstr>
      <vt:lpstr>bridge_summary</vt:lpstr>
      <vt:lpstr>marginal_impact</vt:lpstr>
      <vt:lpstr>overall_analysis</vt:lpstr>
      <vt:lpstr>scenario_summary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2025-12-24T07:00:14Z</dcterms:created>
  <dcterms:modified xsi:type="dcterms:W3CDTF">2025-12-24T07:00:14Z</dcterms:modified>
</cp:coreProperties>
</file>